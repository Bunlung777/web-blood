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LU\RLU68\ข้อมูล68\"/>
    </mc:Choice>
  </mc:AlternateContent>
  <xr:revisionPtr revIDLastSave="0" documentId="13_ncr:1_{F577A5A1-344F-4B32-9D14-F672843A672E}" xr6:coauthVersionLast="47" xr6:coauthVersionMax="47" xr10:uidLastSave="{00000000-0000-0000-0000-000000000000}"/>
  <bookViews>
    <workbookView xWindow="6465" yWindow="915" windowWidth="12855" windowHeight="13095" xr2:uid="{85AC8DC4-BEC6-486D-958B-D021580B2A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4" i="1" l="1"/>
  <c r="AD14" i="1"/>
  <c r="AL13" i="1"/>
  <c r="AL12" i="1"/>
  <c r="AL11" i="1"/>
  <c r="AL10" i="1"/>
  <c r="AL9" i="1"/>
  <c r="AL8" i="1"/>
  <c r="AL7" i="1"/>
  <c r="AL6" i="1"/>
  <c r="AL5" i="1"/>
  <c r="AD6" i="1"/>
  <c r="AD7" i="1"/>
  <c r="AD8" i="1"/>
  <c r="AD9" i="1"/>
  <c r="AD10" i="1"/>
  <c r="AD11" i="1"/>
  <c r="AD12" i="1"/>
  <c r="AD13" i="1"/>
  <c r="AD5" i="1"/>
  <c r="AG6" i="1"/>
  <c r="AG7" i="1"/>
  <c r="AG8" i="1"/>
  <c r="AG9" i="1"/>
  <c r="AG10" i="1"/>
  <c r="AG11" i="1"/>
  <c r="AG12" i="1"/>
  <c r="AG13" i="1"/>
  <c r="AJ13" i="1" s="1"/>
  <c r="AG5" i="1"/>
  <c r="AI13" i="1"/>
  <c r="AI12" i="1"/>
  <c r="AI11" i="1"/>
  <c r="AI10" i="1"/>
  <c r="AI9" i="1"/>
  <c r="AI8" i="1"/>
  <c r="AI7" i="1"/>
  <c r="AI6" i="1"/>
  <c r="AI5" i="1"/>
  <c r="AA9" i="1"/>
  <c r="AA10" i="1"/>
  <c r="AA11" i="1"/>
  <c r="AA12" i="1"/>
  <c r="AA13" i="1"/>
  <c r="Y9" i="1"/>
  <c r="Y10" i="1"/>
  <c r="Y11" i="1"/>
  <c r="Y12" i="1"/>
  <c r="Y13" i="1"/>
  <c r="U9" i="1"/>
  <c r="U10" i="1"/>
  <c r="U11" i="1"/>
  <c r="U12" i="1"/>
  <c r="U13" i="1"/>
  <c r="S9" i="1"/>
  <c r="V9" i="1" s="1"/>
  <c r="S10" i="1"/>
  <c r="V10" i="1" s="1"/>
  <c r="S11" i="1"/>
  <c r="V11" i="1" s="1"/>
  <c r="S12" i="1"/>
  <c r="V12" i="1" s="1"/>
  <c r="S13" i="1"/>
  <c r="V13" i="1" s="1"/>
  <c r="Y8" i="1"/>
  <c r="Y7" i="1"/>
  <c r="Y6" i="1"/>
  <c r="Y5" i="1"/>
  <c r="AA8" i="1"/>
  <c r="AA7" i="1"/>
  <c r="AA6" i="1"/>
  <c r="AA5" i="1"/>
  <c r="P5" i="1"/>
  <c r="U5" i="1"/>
  <c r="U8" i="1"/>
  <c r="U7" i="1"/>
  <c r="U6" i="1"/>
  <c r="P8" i="1"/>
  <c r="P7" i="1"/>
  <c r="P6" i="1"/>
  <c r="P9" i="1" s="1"/>
  <c r="S8" i="1"/>
  <c r="AB8" i="1" s="1"/>
  <c r="S7" i="1"/>
  <c r="V7" i="1" s="1"/>
  <c r="S6" i="1"/>
  <c r="S5" i="1"/>
  <c r="N8" i="1"/>
  <c r="N7" i="1"/>
  <c r="N6" i="1"/>
  <c r="N5" i="1"/>
  <c r="K8" i="1"/>
  <c r="K7" i="1"/>
  <c r="K6" i="1"/>
  <c r="K5" i="1"/>
  <c r="I5" i="1"/>
  <c r="I8" i="1"/>
  <c r="I7" i="1"/>
  <c r="I6" i="1"/>
  <c r="F6" i="1"/>
  <c r="F7" i="1"/>
  <c r="F8" i="1"/>
  <c r="F5" i="1"/>
  <c r="D6" i="1"/>
  <c r="D7" i="1"/>
  <c r="D8" i="1"/>
  <c r="D5" i="1"/>
  <c r="AI14" i="1" l="1"/>
  <c r="AL14" i="1"/>
  <c r="AJ11" i="1"/>
  <c r="AJ10" i="1"/>
  <c r="AJ9" i="1"/>
  <c r="F9" i="1"/>
  <c r="K9" i="1"/>
  <c r="AJ5" i="1"/>
  <c r="AB12" i="1"/>
  <c r="AJ8" i="1"/>
  <c r="AB6" i="1"/>
  <c r="AJ7" i="1"/>
  <c r="AB9" i="1"/>
  <c r="AJ12" i="1"/>
  <c r="AB13" i="1"/>
  <c r="AB7" i="1"/>
  <c r="AB11" i="1"/>
  <c r="AB10" i="1"/>
  <c r="V8" i="1"/>
  <c r="V5" i="1"/>
  <c r="V6" i="1"/>
  <c r="AJ6" i="1"/>
  <c r="AB5" i="1"/>
</calcChain>
</file>

<file path=xl/sharedStrings.xml><?xml version="1.0" encoding="utf-8"?>
<sst xmlns="http://schemas.openxmlformats.org/spreadsheetml/2006/main" count="59" uniqueCount="21">
  <si>
    <t>RLU</t>
  </si>
  <si>
    <t>การตรวจ</t>
  </si>
  <si>
    <t>จำนวน</t>
  </si>
  <si>
    <t>ทุน</t>
  </si>
  <si>
    <t>จำนวนซ้ำ</t>
  </si>
  <si>
    <t>ตรวจทั้งหมด</t>
  </si>
  <si>
    <t>HbA1C</t>
  </si>
  <si>
    <t>Chol</t>
  </si>
  <si>
    <t>TG</t>
  </si>
  <si>
    <t>LDL</t>
  </si>
  <si>
    <t>KPIซ้ำ</t>
  </si>
  <si>
    <t>ต้นทุนรวม</t>
  </si>
  <si>
    <t>ลดจำนวนซ้ำ</t>
  </si>
  <si>
    <t>HBs Ag</t>
  </si>
  <si>
    <t>anti HCV</t>
  </si>
  <si>
    <t>FT3</t>
  </si>
  <si>
    <t>FT4</t>
  </si>
  <si>
    <t>TSH</t>
  </si>
  <si>
    <t>กบก</t>
  </si>
  <si>
    <t>ต้นทุน กบก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</si>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</sst>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2" fontId="0" fillId="3" borderId="1" xfId="0" applyNumberFormat="1" applyFill="1" applyBorder="1"/>
    <xf numFmtId="0" fontId="0" fillId="4" borderId="1" xfId="0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0" fontId="1" fillId="6" borderId="1" xfId="0" applyFont="1" applyFill="1" applyBorder="1"/>
    <xf numFmtId="2" fontId="1" fillId="6" borderId="1" xfId="0" applyNumberFormat="1" applyFont="1" applyFill="1" applyBorder="1"/>
    <xf numFmtId="0" fontId="0" fillId="7" borderId="1" xfId="0" applyFill="1" applyBorder="1"/>
    <xf numFmtId="0" fontId="1" fillId="7" borderId="1" xfId="0" applyFont="1" applyFill="1" applyBorder="1"/>
    <xf numFmtId="2" fontId="1" fillId="7" borderId="1" xfId="0" applyNumberFormat="1" applyFont="1" applyFill="1" applyBorder="1"/>
    <xf numFmtId="0" fontId="0" fillId="8" borderId="1" xfId="0" applyFill="1" applyBorder="1"/>
    <xf numFmtId="2" fontId="0" fillId="8" borderId="1" xfId="0" applyNumberFormat="1" applyFill="1" applyBorder="1"/>
    <xf numFmtId="0" fontId="0" fillId="9" borderId="1" xfId="0" applyFill="1" applyBorder="1"/>
    <xf numFmtId="2" fontId="0" fillId="9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2" fontId="0" fillId="6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1" fillId="10" borderId="1" xfId="0" applyFont="1" applyFill="1" applyBorder="1"/>
    <xf numFmtId="2" fontId="1" fillId="10" borderId="1" xfId="0" applyNumberFormat="1" applyFont="1" applyFill="1" applyBorder="1"/>
    <xf numFmtId="2" fontId="0" fillId="10" borderId="1" xfId="0" applyNumberFormat="1" applyFill="1" applyBorder="1"/>
    <xf numFmtId="0" fontId="0" fillId="7" borderId="4" xfId="0" applyFill="1" applyBorder="1"/>
    <xf numFmtId="2" fontId="1" fillId="7" borderId="4" xfId="0" applyNumberFormat="1" applyFont="1" applyFill="1" applyBorder="1"/>
    <xf numFmtId="2" fontId="0" fillId="7" borderId="4" xfId="0" applyNumberFormat="1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A27F-8003-41D6-BE7B-1332A44559C5}">
  <dimension ref="A1:BI30"/>
  <sheetViews>
    <sheetView tabSelected="1" zoomScaleNormal="100" workbookViewId="0">
      <pane xSplit="1" topLeftCell="AD1" activePane="topRight" state="frozen"/>
      <selection pane="topRight" activeCell="AE25" sqref="AE25"/>
    </sheetView>
  </sheetViews>
  <sheetFormatPr defaultRowHeight="15"/>
  <cols>
    <col min="1" max="1" width="17.5703125" customWidth="1"/>
    <col min="3" max="3" width="11.85546875" bestFit="1" customWidth="1"/>
    <col min="4" max="4" width="11.85546875" customWidth="1"/>
    <col min="6" max="6" width="10.28515625" customWidth="1"/>
    <col min="8" max="9" width="12.140625" customWidth="1"/>
    <col min="11" max="11" width="10.28515625" customWidth="1"/>
    <col min="13" max="14" width="12.7109375" customWidth="1"/>
    <col min="16" max="16" width="10.42578125" customWidth="1"/>
    <col min="18" max="19" width="12.85546875" customWidth="1"/>
    <col min="21" max="21" width="10.28515625" customWidth="1"/>
    <col min="22" max="22" width="12" customWidth="1"/>
    <col min="24" max="24" width="12.5703125" customWidth="1"/>
    <col min="27" max="27" width="10.140625" customWidth="1"/>
    <col min="28" max="30" width="11.7109375" customWidth="1"/>
    <col min="36" max="36" width="11.5703125" bestFit="1" customWidth="1"/>
    <col min="37" max="38" width="11.5703125" customWidth="1"/>
    <col min="39" max="43" width="9.140625" style="30"/>
    <col min="44" max="44" width="11.5703125" style="30" bestFit="1" customWidth="1"/>
    <col min="45" max="45" width="9.140625" style="30"/>
    <col min="46" max="46" width="10.85546875" style="30" bestFit="1" customWidth="1"/>
    <col min="47" max="53" width="9.140625" style="30"/>
    <col min="54" max="54" width="10.85546875" style="30" bestFit="1" customWidth="1"/>
    <col min="55" max="55" width="9.140625" style="30"/>
    <col min="56" max="56" width="12" style="30" customWidth="1"/>
    <col min="57" max="57" width="11.28515625" style="30" customWidth="1"/>
    <col min="58" max="61" width="9.140625" style="30"/>
  </cols>
  <sheetData>
    <row r="1" spans="1:60">
      <c r="A1" t="s">
        <v>0</v>
      </c>
    </row>
    <row r="3" spans="1:60">
      <c r="A3" s="25" t="s">
        <v>1</v>
      </c>
      <c r="B3" s="27">
        <v>2563</v>
      </c>
      <c r="C3" s="27"/>
      <c r="D3" s="27"/>
      <c r="E3" s="27"/>
      <c r="F3" s="27"/>
      <c r="G3" s="28">
        <v>2564</v>
      </c>
      <c r="H3" s="28"/>
      <c r="I3" s="28"/>
      <c r="J3" s="28"/>
      <c r="K3" s="28"/>
      <c r="L3" s="21">
        <v>2565</v>
      </c>
      <c r="M3" s="21"/>
      <c r="N3" s="21"/>
      <c r="O3" s="21"/>
      <c r="P3" s="21"/>
      <c r="Q3" s="26">
        <v>2566</v>
      </c>
      <c r="R3" s="26"/>
      <c r="S3" s="26"/>
      <c r="T3" s="26"/>
      <c r="U3" s="26"/>
      <c r="V3" s="26"/>
      <c r="W3" s="24">
        <v>2567</v>
      </c>
      <c r="X3" s="24"/>
      <c r="Y3" s="24"/>
      <c r="Z3" s="24"/>
      <c r="AA3" s="24"/>
      <c r="AB3" s="24"/>
      <c r="AC3" s="18"/>
      <c r="AD3" s="18"/>
      <c r="AE3" s="21">
        <v>2568</v>
      </c>
      <c r="AF3" s="21"/>
      <c r="AG3" s="21"/>
      <c r="AH3" s="21"/>
      <c r="AI3" s="21"/>
      <c r="AJ3" s="21"/>
      <c r="AK3" s="19"/>
      <c r="AL3" s="1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D3" s="29"/>
      <c r="BE3" s="29"/>
      <c r="BG3" s="29"/>
      <c r="BH3" s="29"/>
    </row>
    <row r="4" spans="1:60" ht="17.25" customHeight="1">
      <c r="A4" s="25"/>
      <c r="B4" s="16" t="s">
        <v>4</v>
      </c>
      <c r="C4" s="16" t="s">
        <v>5</v>
      </c>
      <c r="D4" s="16" t="s">
        <v>10</v>
      </c>
      <c r="E4" s="16" t="s">
        <v>3</v>
      </c>
      <c r="F4" s="16" t="s">
        <v>11</v>
      </c>
      <c r="G4" s="3" t="s">
        <v>2</v>
      </c>
      <c r="H4" s="3" t="s">
        <v>5</v>
      </c>
      <c r="I4" s="3" t="s">
        <v>10</v>
      </c>
      <c r="J4" s="3" t="s">
        <v>3</v>
      </c>
      <c r="K4" s="3" t="s">
        <v>11</v>
      </c>
      <c r="L4" s="14" t="s">
        <v>2</v>
      </c>
      <c r="M4" s="14" t="s">
        <v>5</v>
      </c>
      <c r="N4" s="14" t="s">
        <v>10</v>
      </c>
      <c r="O4" s="14" t="s">
        <v>3</v>
      </c>
      <c r="P4" s="14" t="s">
        <v>11</v>
      </c>
      <c r="Q4" s="6" t="s">
        <v>2</v>
      </c>
      <c r="R4" s="6" t="s">
        <v>5</v>
      </c>
      <c r="S4" s="6" t="s">
        <v>10</v>
      </c>
      <c r="T4" s="6" t="s">
        <v>3</v>
      </c>
      <c r="U4" s="6" t="s">
        <v>11</v>
      </c>
      <c r="V4" s="6" t="s">
        <v>12</v>
      </c>
      <c r="W4" s="8" t="s">
        <v>2</v>
      </c>
      <c r="X4" s="8" t="s">
        <v>5</v>
      </c>
      <c r="Y4" s="8" t="s">
        <v>10</v>
      </c>
      <c r="Z4" s="8" t="s">
        <v>3</v>
      </c>
      <c r="AA4" s="8" t="s">
        <v>11</v>
      </c>
      <c r="AB4" s="8" t="s">
        <v>12</v>
      </c>
      <c r="AC4" s="9" t="s">
        <v>18</v>
      </c>
      <c r="AD4" s="8" t="s">
        <v>19</v>
      </c>
      <c r="AE4" s="11" t="s">
        <v>2</v>
      </c>
      <c r="AF4" s="11" t="s">
        <v>5</v>
      </c>
      <c r="AG4" s="11" t="s">
        <v>10</v>
      </c>
      <c r="AH4" s="11" t="s">
        <v>3</v>
      </c>
      <c r="AI4" s="11" t="s">
        <v>11</v>
      </c>
      <c r="AJ4" s="11" t="s">
        <v>12</v>
      </c>
      <c r="AK4" s="12" t="s">
        <v>18</v>
      </c>
      <c r="AL4" s="34" t="s">
        <v>19</v>
      </c>
    </row>
    <row r="5" spans="1:60">
      <c r="A5" s="1" t="s">
        <v>6</v>
      </c>
      <c r="B5" s="16">
        <v>1015</v>
      </c>
      <c r="C5" s="16">
        <v>10144</v>
      </c>
      <c r="D5" s="17">
        <f>(B5/C5)*100</f>
        <v>10.005914826498422</v>
      </c>
      <c r="E5" s="16">
        <v>88</v>
      </c>
      <c r="F5" s="16">
        <f>B5*E5</f>
        <v>89320</v>
      </c>
      <c r="G5" s="3">
        <v>1372</v>
      </c>
      <c r="H5" s="3">
        <v>12990</v>
      </c>
      <c r="I5" s="4">
        <f>(G5/H5)*100</f>
        <v>10.561970746728253</v>
      </c>
      <c r="J5" s="3">
        <v>88</v>
      </c>
      <c r="K5" s="3">
        <f>G5*J5</f>
        <v>120736</v>
      </c>
      <c r="L5" s="14">
        <v>1196</v>
      </c>
      <c r="M5" s="14">
        <v>13414</v>
      </c>
      <c r="N5" s="15">
        <f>(L5/M5)*100</f>
        <v>8.916057850007455</v>
      </c>
      <c r="O5" s="14">
        <v>88</v>
      </c>
      <c r="P5" s="14">
        <f>L5*O5</f>
        <v>105248</v>
      </c>
      <c r="Q5" s="6">
        <v>645</v>
      </c>
      <c r="R5" s="6">
        <v>13416</v>
      </c>
      <c r="S5" s="7">
        <f>(Q5/R5)*100</f>
        <v>4.8076923076923084</v>
      </c>
      <c r="T5" s="6">
        <v>88</v>
      </c>
      <c r="U5" s="6">
        <f>Q5*T5</f>
        <v>56760</v>
      </c>
      <c r="V5" s="7">
        <f>(S5/N5)*100</f>
        <v>53.921726267044001</v>
      </c>
      <c r="W5" s="9">
        <v>420</v>
      </c>
      <c r="X5" s="9">
        <v>13387</v>
      </c>
      <c r="Y5" s="10">
        <f>(W5/X5)*100</f>
        <v>3.1373720773885108</v>
      </c>
      <c r="Z5" s="9">
        <v>88</v>
      </c>
      <c r="AA5" s="9">
        <f>W5*Z5</f>
        <v>36960</v>
      </c>
      <c r="AB5" s="10">
        <f>(Y5/S5)*100</f>
        <v>65.257339209681021</v>
      </c>
      <c r="AC5" s="9">
        <v>150</v>
      </c>
      <c r="AD5" s="10">
        <f>W5*AC5</f>
        <v>63000</v>
      </c>
      <c r="AE5" s="12">
        <v>647</v>
      </c>
      <c r="AF5" s="12">
        <v>15483</v>
      </c>
      <c r="AG5" s="13">
        <f>(AE5/AF5)*100</f>
        <v>4.1787767228573278</v>
      </c>
      <c r="AH5" s="12">
        <v>88</v>
      </c>
      <c r="AI5" s="12">
        <f>AE5*AH5</f>
        <v>56936</v>
      </c>
      <c r="AJ5" s="13">
        <f>(AG5/Y5)*100</f>
        <v>133.19353330688347</v>
      </c>
      <c r="AK5" s="12">
        <v>150</v>
      </c>
      <c r="AL5" s="35">
        <f>AE5*AK5</f>
        <v>97050</v>
      </c>
      <c r="AM5" s="31"/>
      <c r="AN5" s="31"/>
      <c r="AO5" s="32"/>
      <c r="AP5" s="31"/>
      <c r="AQ5" s="31"/>
      <c r="AR5" s="32"/>
      <c r="AU5" s="31"/>
      <c r="AV5" s="31"/>
      <c r="AW5" s="32"/>
      <c r="AX5" s="31"/>
      <c r="AY5" s="31"/>
      <c r="AZ5" s="32"/>
      <c r="BD5" s="33"/>
      <c r="BG5" s="33"/>
    </row>
    <row r="6" spans="1:60">
      <c r="A6" s="1" t="s">
        <v>7</v>
      </c>
      <c r="B6" s="16">
        <v>966</v>
      </c>
      <c r="C6" s="16">
        <v>16433</v>
      </c>
      <c r="D6" s="17">
        <f t="shared" ref="D6:D8" si="0">(B6/C6)*100</f>
        <v>5.8784153836791821</v>
      </c>
      <c r="E6" s="16">
        <v>7.5</v>
      </c>
      <c r="F6" s="16">
        <f>B6*E6</f>
        <v>7245</v>
      </c>
      <c r="G6" s="3">
        <v>1041</v>
      </c>
      <c r="H6" s="3">
        <v>15897</v>
      </c>
      <c r="I6" s="4">
        <f t="shared" ref="I6:I8" si="1">(G6/H6)*100</f>
        <v>6.5484053595017926</v>
      </c>
      <c r="J6" s="3">
        <v>7.5</v>
      </c>
      <c r="K6" s="3">
        <f>G6*J6</f>
        <v>7807.5</v>
      </c>
      <c r="L6" s="14">
        <v>937</v>
      </c>
      <c r="M6" s="14">
        <v>16358</v>
      </c>
      <c r="N6" s="15">
        <f t="shared" ref="N6:N8" si="2">(L6/M6)*100</f>
        <v>5.728084117862819</v>
      </c>
      <c r="O6" s="14">
        <v>7.5</v>
      </c>
      <c r="P6" s="14">
        <f>L6*O6</f>
        <v>7027.5</v>
      </c>
      <c r="Q6" s="6">
        <v>723</v>
      </c>
      <c r="R6" s="6">
        <v>16881</v>
      </c>
      <c r="S6" s="7">
        <f t="shared" ref="S6:S13" si="3">(Q6/R6)*100</f>
        <v>4.2829216278656475</v>
      </c>
      <c r="T6" s="6">
        <v>7.5</v>
      </c>
      <c r="U6" s="6">
        <f>Q6*T6</f>
        <v>5422.5</v>
      </c>
      <c r="V6" s="7">
        <f t="shared" ref="V6:V13" si="4">(S6/N6)*100</f>
        <v>74.770578429697181</v>
      </c>
      <c r="W6" s="9">
        <v>417</v>
      </c>
      <c r="X6" s="9">
        <v>15029</v>
      </c>
      <c r="Y6" s="10">
        <f t="shared" ref="Y6:Y13" si="5">(W6/X6)*100</f>
        <v>2.7746357043050103</v>
      </c>
      <c r="Z6" s="9">
        <v>7.5</v>
      </c>
      <c r="AA6" s="9">
        <f>W6*Z6</f>
        <v>3127.5</v>
      </c>
      <c r="AB6" s="10">
        <f t="shared" ref="AB6:AB13" si="6">(Y6/S6)*100</f>
        <v>64.783714141594587</v>
      </c>
      <c r="AC6" s="9">
        <v>100</v>
      </c>
      <c r="AD6" s="10">
        <f t="shared" ref="AD6:AD13" si="7">W6*AC6</f>
        <v>41700</v>
      </c>
      <c r="AE6" s="12">
        <v>468</v>
      </c>
      <c r="AF6" s="12">
        <v>16874</v>
      </c>
      <c r="AG6" s="13">
        <f t="shared" ref="AG6:AG13" si="8">(AE6/AF6)*100</f>
        <v>2.773497688751926</v>
      </c>
      <c r="AH6" s="12">
        <v>7.5</v>
      </c>
      <c r="AI6" s="12">
        <f>AE6*AH6</f>
        <v>3510</v>
      </c>
      <c r="AJ6" s="13">
        <f t="shared" ref="AJ6:AJ13" si="9">(AG6/Y6)*100</f>
        <v>99.958985046169531</v>
      </c>
      <c r="AK6" s="12">
        <v>100</v>
      </c>
      <c r="AL6" s="35">
        <f t="shared" ref="AL6:AL13" si="10">AE6*AK6</f>
        <v>46800</v>
      </c>
      <c r="AM6" s="31"/>
      <c r="AN6" s="31"/>
      <c r="AO6" s="32"/>
      <c r="AP6" s="31"/>
      <c r="AQ6" s="31"/>
      <c r="AR6" s="32"/>
      <c r="AU6" s="31"/>
      <c r="AV6" s="31"/>
      <c r="AW6" s="32"/>
      <c r="AX6" s="31"/>
      <c r="AY6" s="31"/>
      <c r="AZ6" s="32"/>
      <c r="BD6" s="33"/>
      <c r="BG6" s="33"/>
    </row>
    <row r="7" spans="1:60">
      <c r="A7" s="1" t="s">
        <v>8</v>
      </c>
      <c r="B7" s="16">
        <v>847</v>
      </c>
      <c r="C7" s="16">
        <v>17680</v>
      </c>
      <c r="D7" s="17">
        <f t="shared" si="0"/>
        <v>4.7907239819004532</v>
      </c>
      <c r="E7" s="16">
        <v>7.5</v>
      </c>
      <c r="F7" s="16">
        <f t="shared" ref="F7:F8" si="11">B7*E7</f>
        <v>6352.5</v>
      </c>
      <c r="G7" s="3">
        <v>937</v>
      </c>
      <c r="H7" s="3">
        <v>17104</v>
      </c>
      <c r="I7" s="4">
        <f t="shared" si="1"/>
        <v>5.4782507015902713</v>
      </c>
      <c r="J7" s="3">
        <v>7.5</v>
      </c>
      <c r="K7" s="3">
        <f t="shared" ref="K7:K8" si="12">G7*J7</f>
        <v>7027.5</v>
      </c>
      <c r="L7" s="14">
        <v>914</v>
      </c>
      <c r="M7" s="14">
        <v>18244</v>
      </c>
      <c r="N7" s="15">
        <f t="shared" si="2"/>
        <v>5.0098662573996933</v>
      </c>
      <c r="O7" s="14">
        <v>7.5</v>
      </c>
      <c r="P7" s="14">
        <f t="shared" ref="P7:P8" si="13">L7*O7</f>
        <v>6855</v>
      </c>
      <c r="Q7" s="6">
        <v>720</v>
      </c>
      <c r="R7" s="6">
        <v>19224</v>
      </c>
      <c r="S7" s="7">
        <f t="shared" si="3"/>
        <v>3.7453183520599254</v>
      </c>
      <c r="T7" s="6">
        <v>7.5</v>
      </c>
      <c r="U7" s="6">
        <f t="shared" ref="U7:U13" si="14">Q7*T7</f>
        <v>5400</v>
      </c>
      <c r="V7" s="7">
        <f t="shared" si="4"/>
        <v>74.758849031708181</v>
      </c>
      <c r="W7" s="9">
        <v>334</v>
      </c>
      <c r="X7" s="9">
        <v>16400</v>
      </c>
      <c r="Y7" s="10">
        <f t="shared" si="5"/>
        <v>2.0365853658536586</v>
      </c>
      <c r="Z7" s="9">
        <v>7.5</v>
      </c>
      <c r="AA7" s="9">
        <f t="shared" ref="AA7:AA13" si="15">W7*Z7</f>
        <v>2505</v>
      </c>
      <c r="AB7" s="10">
        <f t="shared" si="6"/>
        <v>54.376829268292681</v>
      </c>
      <c r="AC7" s="9">
        <v>100</v>
      </c>
      <c r="AD7" s="10">
        <f t="shared" si="7"/>
        <v>33400</v>
      </c>
      <c r="AE7" s="12">
        <v>304</v>
      </c>
      <c r="AF7" s="12">
        <v>17080</v>
      </c>
      <c r="AG7" s="13">
        <f t="shared" si="8"/>
        <v>1.7798594847775178</v>
      </c>
      <c r="AH7" s="12">
        <v>7.5</v>
      </c>
      <c r="AI7" s="12">
        <f t="shared" ref="AI7:AI13" si="16">AE7*AH7</f>
        <v>2280</v>
      </c>
      <c r="AJ7" s="13">
        <f t="shared" si="9"/>
        <v>87.394298054943988</v>
      </c>
      <c r="AK7" s="12">
        <v>100</v>
      </c>
      <c r="AL7" s="35">
        <f t="shared" si="10"/>
        <v>30400</v>
      </c>
      <c r="AM7" s="31"/>
      <c r="AN7" s="31"/>
      <c r="AO7" s="32"/>
      <c r="AP7" s="31"/>
      <c r="AQ7" s="31"/>
      <c r="AR7" s="32"/>
      <c r="AU7" s="31"/>
      <c r="AV7" s="31"/>
      <c r="AW7" s="32"/>
      <c r="AX7" s="31"/>
      <c r="AY7" s="31"/>
      <c r="AZ7" s="32"/>
      <c r="BD7" s="33"/>
      <c r="BG7" s="33"/>
    </row>
    <row r="8" spans="1:60">
      <c r="A8" s="1" t="s">
        <v>9</v>
      </c>
      <c r="B8" s="16">
        <v>1390</v>
      </c>
      <c r="C8" s="16">
        <v>21619</v>
      </c>
      <c r="D8" s="17">
        <f t="shared" si="0"/>
        <v>6.4295295804616304</v>
      </c>
      <c r="E8" s="16">
        <v>27</v>
      </c>
      <c r="F8" s="16">
        <f t="shared" si="11"/>
        <v>37530</v>
      </c>
      <c r="G8" s="3">
        <v>1759</v>
      </c>
      <c r="H8" s="3">
        <v>22958</v>
      </c>
      <c r="I8" s="4">
        <f t="shared" si="1"/>
        <v>7.6618172314661557</v>
      </c>
      <c r="J8" s="3">
        <v>27</v>
      </c>
      <c r="K8" s="3">
        <f t="shared" si="12"/>
        <v>47493</v>
      </c>
      <c r="L8" s="14">
        <v>1626</v>
      </c>
      <c r="M8" s="14">
        <v>23843</v>
      </c>
      <c r="N8" s="15">
        <f t="shared" si="2"/>
        <v>6.8196116260537689</v>
      </c>
      <c r="O8" s="14">
        <v>27</v>
      </c>
      <c r="P8" s="14">
        <f t="shared" si="13"/>
        <v>43902</v>
      </c>
      <c r="Q8" s="6">
        <v>1177</v>
      </c>
      <c r="R8" s="6">
        <v>26080</v>
      </c>
      <c r="S8" s="7">
        <f t="shared" si="3"/>
        <v>4.5130368098159508</v>
      </c>
      <c r="T8" s="6">
        <v>27</v>
      </c>
      <c r="U8" s="6">
        <f t="shared" si="14"/>
        <v>31779</v>
      </c>
      <c r="V8" s="7">
        <f t="shared" si="4"/>
        <v>66.177328816999818</v>
      </c>
      <c r="W8" s="9">
        <v>952</v>
      </c>
      <c r="X8" s="9">
        <v>29116</v>
      </c>
      <c r="Y8" s="10">
        <f t="shared" si="5"/>
        <v>3.2696799010853135</v>
      </c>
      <c r="Z8" s="9">
        <v>27</v>
      </c>
      <c r="AA8" s="9">
        <f t="shared" si="15"/>
        <v>25704</v>
      </c>
      <c r="AB8" s="10">
        <f t="shared" si="6"/>
        <v>72.449661699494456</v>
      </c>
      <c r="AC8" s="9">
        <v>150</v>
      </c>
      <c r="AD8" s="10">
        <f t="shared" si="7"/>
        <v>142800</v>
      </c>
      <c r="AE8" s="12">
        <v>1113</v>
      </c>
      <c r="AF8" s="12">
        <v>30006</v>
      </c>
      <c r="AG8" s="13">
        <f t="shared" si="8"/>
        <v>3.709258148370326</v>
      </c>
      <c r="AH8" s="12">
        <v>27</v>
      </c>
      <c r="AI8" s="12">
        <f t="shared" si="16"/>
        <v>30051</v>
      </c>
      <c r="AJ8" s="13">
        <f t="shared" si="9"/>
        <v>113.44407589070423</v>
      </c>
      <c r="AK8" s="12">
        <v>150</v>
      </c>
      <c r="AL8" s="35">
        <f t="shared" si="10"/>
        <v>166950</v>
      </c>
      <c r="AM8" s="31"/>
      <c r="AN8" s="31"/>
      <c r="AO8" s="32"/>
      <c r="AP8" s="31"/>
      <c r="AQ8" s="31"/>
      <c r="AR8" s="32"/>
      <c r="AU8" s="31"/>
      <c r="AV8" s="31"/>
      <c r="AW8" s="32"/>
      <c r="AX8" s="31"/>
      <c r="AY8" s="31"/>
      <c r="AZ8" s="32"/>
      <c r="BD8" s="33"/>
      <c r="BG8" s="33"/>
    </row>
    <row r="9" spans="1:60" ht="16.5" customHeight="1">
      <c r="A9" s="1" t="s">
        <v>13</v>
      </c>
      <c r="B9" s="16"/>
      <c r="C9" s="16"/>
      <c r="D9" s="16"/>
      <c r="E9" s="16"/>
      <c r="F9" s="16">
        <f>SUM(F5:F8)</f>
        <v>140447.5</v>
      </c>
      <c r="G9" s="3"/>
      <c r="H9" s="3"/>
      <c r="I9" s="3"/>
      <c r="J9" s="3"/>
      <c r="K9" s="3">
        <f>SUM(K5:K8)</f>
        <v>183064</v>
      </c>
      <c r="L9" s="14"/>
      <c r="M9" s="14"/>
      <c r="N9" s="14"/>
      <c r="O9" s="14"/>
      <c r="P9" s="14">
        <f>SUM(P5:P8)</f>
        <v>163032.5</v>
      </c>
      <c r="Q9" s="6">
        <v>373</v>
      </c>
      <c r="R9" s="6">
        <v>6117</v>
      </c>
      <c r="S9" s="7">
        <f t="shared" si="3"/>
        <v>6.0977603400359657</v>
      </c>
      <c r="T9" s="6">
        <v>55</v>
      </c>
      <c r="U9" s="6">
        <f t="shared" si="14"/>
        <v>20515</v>
      </c>
      <c r="V9" s="7" t="e">
        <f t="shared" si="4"/>
        <v>#DIV/0!</v>
      </c>
      <c r="W9" s="9">
        <v>437</v>
      </c>
      <c r="X9" s="9">
        <v>6324</v>
      </c>
      <c r="Y9" s="10">
        <f t="shared" si="5"/>
        <v>6.9101834282099945</v>
      </c>
      <c r="Z9" s="8">
        <v>55</v>
      </c>
      <c r="AA9" s="9">
        <f t="shared" si="15"/>
        <v>24035</v>
      </c>
      <c r="AB9" s="10">
        <f>(Y9/S9)*100</f>
        <v>113.3233030304572</v>
      </c>
      <c r="AC9" s="9">
        <v>130</v>
      </c>
      <c r="AD9" s="10">
        <f t="shared" si="7"/>
        <v>56810</v>
      </c>
      <c r="AE9" s="11">
        <v>445</v>
      </c>
      <c r="AF9" s="12">
        <v>7334</v>
      </c>
      <c r="AG9" s="13">
        <f t="shared" si="8"/>
        <v>6.06763021543496</v>
      </c>
      <c r="AH9" s="11">
        <v>55</v>
      </c>
      <c r="AI9" s="11">
        <f t="shared" si="16"/>
        <v>24475</v>
      </c>
      <c r="AJ9" s="13">
        <f t="shared" si="9"/>
        <v>87.807078907118267</v>
      </c>
      <c r="AK9" s="12">
        <v>130</v>
      </c>
      <c r="AL9" s="35">
        <f t="shared" si="10"/>
        <v>57850</v>
      </c>
      <c r="AM9" s="31"/>
      <c r="AN9" s="31"/>
      <c r="AO9" s="32"/>
      <c r="AQ9" s="31"/>
      <c r="AR9" s="32"/>
      <c r="AU9" s="31"/>
      <c r="AV9" s="31"/>
      <c r="AW9" s="32"/>
      <c r="AY9" s="31"/>
      <c r="AZ9" s="32"/>
      <c r="BD9" s="33"/>
      <c r="BG9" s="33"/>
    </row>
    <row r="10" spans="1:60">
      <c r="A10" s="1" t="s">
        <v>14</v>
      </c>
      <c r="B10" s="16"/>
      <c r="C10" s="16"/>
      <c r="D10" s="16"/>
      <c r="E10" s="16"/>
      <c r="F10" s="16"/>
      <c r="G10" s="3"/>
      <c r="H10" s="3"/>
      <c r="I10" s="3"/>
      <c r="J10" s="3"/>
      <c r="K10" s="3"/>
      <c r="L10" s="14"/>
      <c r="M10" s="14"/>
      <c r="N10" s="14"/>
      <c r="O10" s="14"/>
      <c r="P10" s="14"/>
      <c r="Q10" s="6">
        <v>234</v>
      </c>
      <c r="R10" s="6">
        <v>4319</v>
      </c>
      <c r="S10" s="7">
        <f t="shared" si="3"/>
        <v>5.4179208150034723</v>
      </c>
      <c r="T10" s="6">
        <v>120</v>
      </c>
      <c r="U10" s="6">
        <f t="shared" si="14"/>
        <v>28080</v>
      </c>
      <c r="V10" s="7" t="e">
        <f t="shared" si="4"/>
        <v>#DIV/0!</v>
      </c>
      <c r="W10" s="8">
        <v>257</v>
      </c>
      <c r="X10" s="8">
        <v>4938</v>
      </c>
      <c r="Y10" s="10">
        <f t="shared" si="5"/>
        <v>5.2045362494937217</v>
      </c>
      <c r="Z10" s="8">
        <v>120</v>
      </c>
      <c r="AA10" s="9">
        <f t="shared" si="15"/>
        <v>30840</v>
      </c>
      <c r="AB10" s="10">
        <f t="shared" si="6"/>
        <v>96.061504536595677</v>
      </c>
      <c r="AC10" s="9">
        <v>300</v>
      </c>
      <c r="AD10" s="10">
        <f t="shared" si="7"/>
        <v>77100</v>
      </c>
      <c r="AE10" s="11">
        <v>247</v>
      </c>
      <c r="AF10" s="12">
        <v>5669</v>
      </c>
      <c r="AG10" s="13">
        <f t="shared" si="8"/>
        <v>4.3570294584582818</v>
      </c>
      <c r="AH10" s="11">
        <v>120</v>
      </c>
      <c r="AI10" s="11">
        <f t="shared" si="16"/>
        <v>29640</v>
      </c>
      <c r="AJ10" s="13">
        <f t="shared" si="9"/>
        <v>83.715997921661469</v>
      </c>
      <c r="AK10" s="12">
        <v>300</v>
      </c>
      <c r="AL10" s="35">
        <f t="shared" si="10"/>
        <v>74100</v>
      </c>
      <c r="AO10" s="32"/>
      <c r="AQ10" s="31"/>
      <c r="AR10" s="32"/>
      <c r="AW10" s="32"/>
      <c r="AY10" s="31"/>
      <c r="AZ10" s="32"/>
      <c r="BD10" s="33"/>
      <c r="BG10" s="33"/>
    </row>
    <row r="11" spans="1:60">
      <c r="A11" s="1" t="s">
        <v>15</v>
      </c>
      <c r="B11" s="16"/>
      <c r="C11" s="16"/>
      <c r="D11" s="16"/>
      <c r="E11" s="16"/>
      <c r="F11" s="16"/>
      <c r="G11" s="3"/>
      <c r="H11" s="3"/>
      <c r="I11" s="3"/>
      <c r="J11" s="3"/>
      <c r="K11" s="3"/>
      <c r="L11" s="14"/>
      <c r="M11" s="14"/>
      <c r="N11" s="14"/>
      <c r="O11" s="14"/>
      <c r="P11" s="14"/>
      <c r="Q11" s="6">
        <v>633</v>
      </c>
      <c r="R11" s="6">
        <v>9950</v>
      </c>
      <c r="S11" s="7">
        <f t="shared" si="3"/>
        <v>6.3618090452261296</v>
      </c>
      <c r="T11" s="6">
        <v>72</v>
      </c>
      <c r="U11" s="6">
        <f t="shared" si="14"/>
        <v>45576</v>
      </c>
      <c r="V11" s="7" t="e">
        <f t="shared" si="4"/>
        <v>#DIV/0!</v>
      </c>
      <c r="W11" s="8">
        <v>497</v>
      </c>
      <c r="X11" s="8">
        <v>9870</v>
      </c>
      <c r="Y11" s="10">
        <f t="shared" si="5"/>
        <v>5.0354609929078018</v>
      </c>
      <c r="Z11" s="8">
        <v>72</v>
      </c>
      <c r="AA11" s="9">
        <f t="shared" si="15"/>
        <v>35784</v>
      </c>
      <c r="AB11" s="10">
        <f t="shared" si="6"/>
        <v>79.151401073353298</v>
      </c>
      <c r="AC11" s="9">
        <v>170</v>
      </c>
      <c r="AD11" s="10">
        <f t="shared" si="7"/>
        <v>84490</v>
      </c>
      <c r="AE11" s="11">
        <v>465</v>
      </c>
      <c r="AF11" s="12">
        <v>9894</v>
      </c>
      <c r="AG11" s="13">
        <f t="shared" si="8"/>
        <v>4.6998180715585205</v>
      </c>
      <c r="AH11" s="11">
        <v>72</v>
      </c>
      <c r="AI11" s="11">
        <f t="shared" si="16"/>
        <v>33480</v>
      </c>
      <c r="AJ11" s="13">
        <f t="shared" si="9"/>
        <v>93.334415223908636</v>
      </c>
      <c r="AK11" s="12">
        <v>170</v>
      </c>
      <c r="AL11" s="35">
        <f t="shared" si="10"/>
        <v>79050</v>
      </c>
      <c r="AO11" s="32"/>
      <c r="AQ11" s="31"/>
      <c r="AR11" s="32"/>
      <c r="AW11" s="32"/>
      <c r="AY11" s="31"/>
      <c r="AZ11" s="32"/>
      <c r="BD11" s="33"/>
      <c r="BG11" s="33"/>
    </row>
    <row r="12" spans="1:60">
      <c r="A12" s="1" t="s">
        <v>16</v>
      </c>
      <c r="B12" s="16"/>
      <c r="C12" s="16"/>
      <c r="D12" s="16"/>
      <c r="E12" s="16"/>
      <c r="F12" s="16"/>
      <c r="G12" s="3"/>
      <c r="H12" s="3"/>
      <c r="I12" s="3"/>
      <c r="J12" s="3"/>
      <c r="K12" s="3"/>
      <c r="L12" s="14"/>
      <c r="M12" s="14"/>
      <c r="N12" s="14"/>
      <c r="O12" s="14"/>
      <c r="P12" s="14"/>
      <c r="Q12" s="6">
        <v>649</v>
      </c>
      <c r="R12" s="6">
        <v>9058</v>
      </c>
      <c r="S12" s="7">
        <f t="shared" si="3"/>
        <v>7.1649370722013686</v>
      </c>
      <c r="T12" s="6">
        <v>72</v>
      </c>
      <c r="U12" s="6">
        <f t="shared" si="14"/>
        <v>46728</v>
      </c>
      <c r="V12" s="7" t="e">
        <f t="shared" si="4"/>
        <v>#DIV/0!</v>
      </c>
      <c r="W12" s="8">
        <v>551</v>
      </c>
      <c r="X12" s="8">
        <v>9127</v>
      </c>
      <c r="Y12" s="10">
        <f t="shared" si="5"/>
        <v>6.0370329790730803</v>
      </c>
      <c r="Z12" s="8">
        <v>72</v>
      </c>
      <c r="AA12" s="9">
        <f t="shared" si="15"/>
        <v>39672</v>
      </c>
      <c r="AB12" s="10">
        <f t="shared" si="6"/>
        <v>84.25800419791058</v>
      </c>
      <c r="AC12" s="9">
        <v>150</v>
      </c>
      <c r="AD12" s="10">
        <f t="shared" si="7"/>
        <v>82650</v>
      </c>
      <c r="AE12" s="11">
        <v>487</v>
      </c>
      <c r="AF12" s="12">
        <v>9422</v>
      </c>
      <c r="AG12" s="13">
        <f t="shared" si="8"/>
        <v>5.1687539800466986</v>
      </c>
      <c r="AH12" s="11">
        <v>72</v>
      </c>
      <c r="AI12" s="11">
        <f t="shared" si="16"/>
        <v>35064</v>
      </c>
      <c r="AJ12" s="13">
        <f t="shared" si="9"/>
        <v>85.617454765673699</v>
      </c>
      <c r="AK12" s="12">
        <v>150</v>
      </c>
      <c r="AL12" s="35">
        <f t="shared" si="10"/>
        <v>73050</v>
      </c>
      <c r="AO12" s="32"/>
      <c r="AQ12" s="31"/>
      <c r="AR12" s="32"/>
      <c r="AW12" s="32"/>
      <c r="AY12" s="31"/>
      <c r="AZ12" s="32"/>
      <c r="BD12" s="33"/>
      <c r="BG12" s="33"/>
    </row>
    <row r="13" spans="1:60">
      <c r="A13" s="1" t="s">
        <v>17</v>
      </c>
      <c r="B13" s="16"/>
      <c r="C13" s="16"/>
      <c r="D13" s="16"/>
      <c r="E13" s="16"/>
      <c r="F13" s="16"/>
      <c r="G13" s="3"/>
      <c r="H13" s="3"/>
      <c r="I13" s="3"/>
      <c r="J13" s="3"/>
      <c r="K13" s="3"/>
      <c r="L13" s="14"/>
      <c r="M13" s="14"/>
      <c r="N13" s="14"/>
      <c r="O13" s="14"/>
      <c r="P13" s="14"/>
      <c r="Q13" s="6">
        <v>787</v>
      </c>
      <c r="R13" s="6">
        <v>12145</v>
      </c>
      <c r="S13" s="7">
        <f t="shared" si="3"/>
        <v>6.4800329353643482</v>
      </c>
      <c r="T13" s="6">
        <v>72</v>
      </c>
      <c r="U13" s="6">
        <f t="shared" si="14"/>
        <v>56664</v>
      </c>
      <c r="V13" s="7" t="e">
        <f t="shared" si="4"/>
        <v>#DIV/0!</v>
      </c>
      <c r="W13" s="8">
        <v>617</v>
      </c>
      <c r="X13" s="8">
        <v>12269</v>
      </c>
      <c r="Y13" s="10">
        <f t="shared" si="5"/>
        <v>5.0289347135055831</v>
      </c>
      <c r="Z13" s="8">
        <v>72</v>
      </c>
      <c r="AA13" s="9">
        <f t="shared" si="15"/>
        <v>44424</v>
      </c>
      <c r="AB13" s="10">
        <f t="shared" si="6"/>
        <v>77.606622738913984</v>
      </c>
      <c r="AC13" s="9">
        <v>170</v>
      </c>
      <c r="AD13" s="10">
        <f t="shared" si="7"/>
        <v>104890</v>
      </c>
      <c r="AE13" s="11">
        <v>590</v>
      </c>
      <c r="AF13" s="11">
        <v>12494</v>
      </c>
      <c r="AG13" s="13">
        <f t="shared" si="8"/>
        <v>4.7222666880102446</v>
      </c>
      <c r="AH13" s="11">
        <v>72</v>
      </c>
      <c r="AI13" s="11">
        <f t="shared" si="16"/>
        <v>42480</v>
      </c>
      <c r="AJ13" s="13">
        <f t="shared" si="9"/>
        <v>93.901928679412791</v>
      </c>
      <c r="AK13" s="12">
        <v>170</v>
      </c>
      <c r="AL13" s="35">
        <f t="shared" si="10"/>
        <v>100300</v>
      </c>
      <c r="AO13" s="32"/>
      <c r="AQ13" s="31"/>
      <c r="AR13" s="32"/>
      <c r="AW13" s="32"/>
      <c r="AY13" s="31"/>
      <c r="AZ13" s="32"/>
      <c r="BD13" s="33"/>
      <c r="BG13" s="33"/>
    </row>
    <row r="14" spans="1:60">
      <c r="A14" s="1" t="s">
        <v>20</v>
      </c>
      <c r="B14" s="16"/>
      <c r="C14" s="16"/>
      <c r="D14" s="16"/>
      <c r="E14" s="16"/>
      <c r="F14" s="16"/>
      <c r="G14" s="3"/>
      <c r="H14" s="3"/>
      <c r="I14" s="3"/>
      <c r="J14" s="3"/>
      <c r="K14" s="3"/>
      <c r="L14" s="14"/>
      <c r="M14" s="14"/>
      <c r="N14" s="14"/>
      <c r="O14" s="14"/>
      <c r="P14" s="14"/>
      <c r="Q14" s="6"/>
      <c r="R14" s="6"/>
      <c r="S14" s="6"/>
      <c r="T14" s="6"/>
      <c r="U14" s="6"/>
      <c r="V14" s="6"/>
      <c r="W14" s="8"/>
      <c r="X14" s="8"/>
      <c r="Y14" s="8"/>
      <c r="Z14" s="8"/>
      <c r="AA14" s="8">
        <f>SUM(AA5:AA13)</f>
        <v>243051.5</v>
      </c>
      <c r="AB14" s="8"/>
      <c r="AC14" s="8"/>
      <c r="AD14" s="20">
        <f>SUM(AD5:AD13)</f>
        <v>686840</v>
      </c>
      <c r="AE14" s="11"/>
      <c r="AF14" s="11"/>
      <c r="AG14" s="11"/>
      <c r="AH14" s="11"/>
      <c r="AI14" s="11">
        <f>SUM(AI5:AI13)</f>
        <v>257916</v>
      </c>
      <c r="AJ14" s="11"/>
      <c r="AK14" s="11"/>
      <c r="AL14" s="36">
        <f>SUM(AL5:AL13)</f>
        <v>725550</v>
      </c>
      <c r="BD14" s="33"/>
      <c r="BE14" s="33"/>
      <c r="BG14" s="33"/>
      <c r="BH14" s="33"/>
    </row>
    <row r="17" spans="1:17">
      <c r="A17" s="22"/>
    </row>
    <row r="18" spans="1:17">
      <c r="A18" s="23"/>
      <c r="B18" s="2"/>
      <c r="C18" s="3"/>
      <c r="D18" s="5"/>
      <c r="E18" s="6"/>
    </row>
    <row r="19" spans="1:17">
      <c r="A19" s="1"/>
      <c r="B19" s="2"/>
      <c r="C19" s="3"/>
      <c r="D19" s="5"/>
      <c r="E19" s="6"/>
    </row>
    <row r="20" spans="1:17">
      <c r="A20" s="1"/>
      <c r="B20" s="2"/>
      <c r="C20" s="3"/>
      <c r="D20" s="5"/>
      <c r="E20" s="6"/>
      <c r="O20" s="25" t="s">
        <v>1</v>
      </c>
    </row>
    <row r="21" spans="1:17">
      <c r="A21" s="1"/>
      <c r="B21" s="2"/>
      <c r="C21" s="3"/>
      <c r="D21" s="5"/>
      <c r="E21" s="6"/>
      <c r="O21" s="25"/>
      <c r="P21">
        <v>2566</v>
      </c>
      <c r="Q21">
        <v>2567</v>
      </c>
    </row>
    <row r="22" spans="1:17">
      <c r="A22" s="1"/>
      <c r="B22" s="2"/>
      <c r="C22" s="3"/>
      <c r="D22" s="5"/>
      <c r="E22" s="6"/>
      <c r="O22" s="1" t="s">
        <v>6</v>
      </c>
    </row>
    <row r="23" spans="1:17">
      <c r="A23" s="1"/>
      <c r="O23" s="1" t="s">
        <v>7</v>
      </c>
    </row>
    <row r="24" spans="1:17">
      <c r="A24" s="1"/>
      <c r="O24" s="1" t="s">
        <v>8</v>
      </c>
    </row>
    <row r="25" spans="1:17">
      <c r="A25" s="1"/>
      <c r="O25" s="1" t="s">
        <v>9</v>
      </c>
    </row>
    <row r="26" spans="1:17">
      <c r="A26" s="1"/>
      <c r="O26" s="1" t="s">
        <v>13</v>
      </c>
    </row>
    <row r="27" spans="1:17">
      <c r="A27" s="1"/>
      <c r="O27" s="1" t="s">
        <v>14</v>
      </c>
    </row>
    <row r="28" spans="1:17">
      <c r="O28" s="1" t="s">
        <v>15</v>
      </c>
    </row>
    <row r="29" spans="1:17">
      <c r="O29" s="1" t="s">
        <v>16</v>
      </c>
    </row>
    <row r="30" spans="1:17">
      <c r="O30" s="1" t="s">
        <v>17</v>
      </c>
    </row>
  </sheetData>
  <mergeCells count="13">
    <mergeCell ref="O20:O21"/>
    <mergeCell ref="A17:A18"/>
    <mergeCell ref="W3:AB3"/>
    <mergeCell ref="A3:A4"/>
    <mergeCell ref="Q3:V3"/>
    <mergeCell ref="B3:F3"/>
    <mergeCell ref="G3:K3"/>
    <mergeCell ref="L3:P3"/>
    <mergeCell ref="AM3:AT3"/>
    <mergeCell ref="AU3:BB3"/>
    <mergeCell ref="BD3:BE3"/>
    <mergeCell ref="BG3:BH3"/>
    <mergeCell ref="AE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 user</dc:creator>
  <cp:lastModifiedBy>no user</cp:lastModifiedBy>
  <dcterms:created xsi:type="dcterms:W3CDTF">2023-10-16T14:35:14Z</dcterms:created>
  <dcterms:modified xsi:type="dcterms:W3CDTF">2025-10-27T09:17:30Z</dcterms:modified>
</cp:coreProperties>
</file>